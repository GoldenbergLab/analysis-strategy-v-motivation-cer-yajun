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bs-my.sharepoint.com/personal/agoldenberg_hbs_edu/Documents/collective_emotion_and_regulation/motivation_strategy_yajun/Data/"/>
    </mc:Choice>
  </mc:AlternateContent>
  <xr:revisionPtr revIDLastSave="26" documentId="8_{CBF49684-6131-EA41-93AD-10602C4864B2}" xr6:coauthVersionLast="47" xr6:coauthVersionMax="47" xr10:uidLastSave="{7C434243-AD52-E149-BCA2-9ED690820E8C}"/>
  <bookViews>
    <workbookView xWindow="-51200" yWindow="-10820" windowWidth="51200" windowHeight="26700" xr2:uid="{2D5607D1-D918-EB4B-9065-66E05446F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C43" i="1"/>
  <c r="H40" i="1"/>
  <c r="E40" i="1"/>
  <c r="K40" i="1" s="1"/>
  <c r="F40" i="1"/>
  <c r="H39" i="1"/>
  <c r="E39" i="1"/>
  <c r="K39" i="1" s="1"/>
  <c r="F39" i="1"/>
  <c r="D43" i="1"/>
  <c r="J43" i="1"/>
  <c r="E31" i="1"/>
  <c r="L31" i="1" s="1"/>
  <c r="M31" i="1" s="1"/>
  <c r="E32" i="1"/>
  <c r="K32" i="1" s="1"/>
  <c r="E33" i="1"/>
  <c r="L33" i="1" s="1"/>
  <c r="M33" i="1" s="1"/>
  <c r="E34" i="1"/>
  <c r="L34" i="1" s="1"/>
  <c r="M34" i="1" s="1"/>
  <c r="E35" i="1"/>
  <c r="L35" i="1" s="1"/>
  <c r="M35" i="1" s="1"/>
  <c r="E36" i="1"/>
  <c r="K36" i="1" s="1"/>
  <c r="E37" i="1"/>
  <c r="L37" i="1" s="1"/>
  <c r="M37" i="1" s="1"/>
  <c r="F33" i="1"/>
  <c r="H33" i="1"/>
  <c r="F34" i="1"/>
  <c r="H34" i="1"/>
  <c r="F35" i="1"/>
  <c r="H35" i="1"/>
  <c r="F36" i="1"/>
  <c r="H36" i="1"/>
  <c r="F37" i="1"/>
  <c r="H37" i="1"/>
  <c r="H32" i="1"/>
  <c r="F32" i="1"/>
  <c r="H29" i="1"/>
  <c r="H30" i="1"/>
  <c r="H31" i="1"/>
  <c r="F31" i="1"/>
  <c r="F29" i="1"/>
  <c r="F30" i="1"/>
  <c r="E29" i="1"/>
  <c r="L29" i="1" s="1"/>
  <c r="E30" i="1"/>
  <c r="L30" i="1" s="1"/>
  <c r="M30" i="1" s="1"/>
  <c r="H25" i="1"/>
  <c r="H26" i="1"/>
  <c r="H27" i="1"/>
  <c r="H28" i="1"/>
  <c r="F25" i="1"/>
  <c r="F26" i="1"/>
  <c r="F27" i="1"/>
  <c r="F28" i="1"/>
  <c r="E25" i="1"/>
  <c r="K25" i="1" s="1"/>
  <c r="E26" i="1"/>
  <c r="K26" i="1" s="1"/>
  <c r="E27" i="1"/>
  <c r="K27" i="1" s="1"/>
  <c r="E28" i="1"/>
  <c r="L28" i="1" s="1"/>
  <c r="M28" i="1" s="1"/>
  <c r="H24" i="1"/>
  <c r="E24" i="1"/>
  <c r="L24" i="1" s="1"/>
  <c r="M24" i="1" s="1"/>
  <c r="F24" i="1"/>
  <c r="H23" i="1"/>
  <c r="E23" i="1"/>
  <c r="L23" i="1" s="1"/>
  <c r="M23" i="1" s="1"/>
  <c r="F23" i="1"/>
  <c r="G43" i="1"/>
  <c r="H22" i="1"/>
  <c r="E22" i="1"/>
  <c r="K22" i="1" s="1"/>
  <c r="F22" i="1"/>
  <c r="H21" i="1"/>
  <c r="E21" i="1"/>
  <c r="F21" i="1"/>
  <c r="H20" i="1"/>
  <c r="F20" i="1"/>
  <c r="E20" i="1"/>
  <c r="K20" i="1" s="1"/>
  <c r="H19" i="1"/>
  <c r="E19" i="1"/>
  <c r="L19" i="1" s="1"/>
  <c r="M19" i="1" s="1"/>
  <c r="E18" i="1"/>
  <c r="F19" i="1"/>
  <c r="H18" i="1"/>
  <c r="F18" i="1"/>
  <c r="H17" i="1"/>
  <c r="E17" i="1"/>
  <c r="K17" i="1" s="1"/>
  <c r="F17" i="1"/>
  <c r="H16" i="1"/>
  <c r="E16" i="1"/>
  <c r="K16" i="1" s="1"/>
  <c r="F16" i="1"/>
  <c r="H15" i="1"/>
  <c r="E15" i="1"/>
  <c r="L15" i="1" s="1"/>
  <c r="M15" i="1" s="1"/>
  <c r="F15" i="1"/>
  <c r="H14" i="1"/>
  <c r="E14" i="1"/>
  <c r="K14" i="1" s="1"/>
  <c r="F14" i="1"/>
  <c r="H13" i="1"/>
  <c r="E13" i="1"/>
  <c r="K13" i="1" s="1"/>
  <c r="F13" i="1"/>
  <c r="H45" i="1"/>
  <c r="E45" i="1"/>
  <c r="K45" i="1" s="1"/>
  <c r="F45" i="1"/>
  <c r="H11" i="1"/>
  <c r="E11" i="1"/>
  <c r="K11" i="1" s="1"/>
  <c r="F11" i="1"/>
  <c r="H10" i="1"/>
  <c r="E10" i="1"/>
  <c r="L10" i="1" s="1"/>
  <c r="M10" i="1" s="1"/>
  <c r="F10" i="1"/>
  <c r="H9" i="1"/>
  <c r="E9" i="1"/>
  <c r="L9" i="1" s="1"/>
  <c r="M9" i="1" s="1"/>
  <c r="F9" i="1"/>
  <c r="H8" i="1"/>
  <c r="E8" i="1"/>
  <c r="K8" i="1" s="1"/>
  <c r="F8" i="1"/>
  <c r="H7" i="1"/>
  <c r="E7" i="1"/>
  <c r="L7" i="1" s="1"/>
  <c r="M7" i="1" s="1"/>
  <c r="F7" i="1"/>
  <c r="E5" i="1"/>
  <c r="K5" i="1" s="1"/>
  <c r="H6" i="1"/>
  <c r="H5" i="1"/>
  <c r="H4" i="1"/>
  <c r="E6" i="1"/>
  <c r="L6" i="1" s="1"/>
  <c r="F6" i="1"/>
  <c r="L4" i="1"/>
  <c r="M4" i="1" s="1"/>
  <c r="F5" i="1"/>
  <c r="E3" i="1"/>
  <c r="K3" i="1" s="1"/>
  <c r="K4" i="1"/>
  <c r="F4" i="1"/>
  <c r="F3" i="1"/>
  <c r="H3" i="1"/>
  <c r="H2" i="1"/>
  <c r="F2" i="1"/>
  <c r="E2" i="1"/>
  <c r="M2" i="1" s="1"/>
  <c r="L39" i="1" l="1"/>
  <c r="M39" i="1" s="1"/>
  <c r="L40" i="1"/>
  <c r="K33" i="1"/>
  <c r="L32" i="1"/>
  <c r="M32" i="1" s="1"/>
  <c r="K35" i="1"/>
  <c r="E43" i="1"/>
  <c r="K37" i="1"/>
  <c r="L36" i="1"/>
  <c r="M36" i="1" s="1"/>
  <c r="K34" i="1"/>
  <c r="K31" i="1"/>
  <c r="K29" i="1"/>
  <c r="M29" i="1"/>
  <c r="K30" i="1"/>
  <c r="K28" i="1"/>
  <c r="K24" i="1"/>
  <c r="L27" i="1"/>
  <c r="M27" i="1" s="1"/>
  <c r="L26" i="1"/>
  <c r="M26" i="1" s="1"/>
  <c r="L25" i="1"/>
  <c r="M25" i="1" s="1"/>
  <c r="K23" i="1"/>
  <c r="L22" i="1"/>
  <c r="M22" i="1" s="1"/>
  <c r="L8" i="1"/>
  <c r="M8" i="1" s="1"/>
  <c r="L20" i="1"/>
  <c r="M20" i="1" s="1"/>
  <c r="K19" i="1"/>
  <c r="L21" i="1"/>
  <c r="M21" i="1" s="1"/>
  <c r="K21" i="1"/>
  <c r="K9" i="1"/>
  <c r="L16" i="1"/>
  <c r="M16" i="1" s="1"/>
  <c r="L11" i="1"/>
  <c r="M11" i="1" s="1"/>
  <c r="L13" i="1"/>
  <c r="M13" i="1" s="1"/>
  <c r="K15" i="1"/>
  <c r="L5" i="1"/>
  <c r="K10" i="1"/>
  <c r="L17" i="1"/>
  <c r="M17" i="1" s="1"/>
  <c r="F43" i="1"/>
  <c r="H43" i="1"/>
  <c r="M6" i="1"/>
  <c r="K6" i="1"/>
  <c r="K7" i="1"/>
  <c r="L14" i="1"/>
  <c r="M14" i="1" s="1"/>
  <c r="L45" i="1"/>
  <c r="M45" i="1" s="1"/>
  <c r="M3" i="1"/>
  <c r="K2" i="1"/>
  <c r="L43" i="1" l="1"/>
  <c r="M40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tc={BBA941AB-FC97-994F-AE24-13CF7CE6231F}</author>
  </authors>
  <commentList>
    <comment ref="C18" authorId="0" shapeId="0" xr:uid="{BBA941AB-FC97-994F-AE24-13CF7CE623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really completed because I mistakenly ended the survey</t>
      </text>
    </comment>
  </commentList>
</comments>
</file>

<file path=xl/sharedStrings.xml><?xml version="1.0" encoding="utf-8"?>
<sst xmlns="http://schemas.openxmlformats.org/spreadsheetml/2006/main" count="70" uniqueCount="67">
  <si>
    <t>Date</t>
  </si>
  <si>
    <t>Total N (Qualtrics finished)</t>
  </si>
  <si>
    <t>Solo</t>
  </si>
  <si>
    <t>Non-Solo</t>
  </si>
  <si>
    <t>Solo Rate</t>
  </si>
  <si>
    <t>Pilot 1</t>
  </si>
  <si>
    <t>Pilot 2</t>
  </si>
  <si>
    <t>Inattention rate</t>
  </si>
  <si>
    <t>Among the non-solo:</t>
  </si>
  <si>
    <t>inactivity rate</t>
  </si>
  <si>
    <t>Non-solo completed</t>
  </si>
  <si>
    <t>Experiment 1</t>
  </si>
  <si>
    <t>Project</t>
  </si>
  <si>
    <t>Experiment 2</t>
  </si>
  <si>
    <t>Experiment 3</t>
  </si>
  <si>
    <t>Inattention</t>
  </si>
  <si>
    <t>Non-solo completion rate</t>
  </si>
  <si>
    <t>Notes</t>
  </si>
  <si>
    <t>Starting from here, inattentional participants were not kicked out</t>
  </si>
  <si>
    <t>Starting from here, the threshlod became 10 times of inactivity instead of 6</t>
  </si>
  <si>
    <t>Experiment 4</t>
  </si>
  <si>
    <t>Experiment 5</t>
  </si>
  <si>
    <t>Experiment 6</t>
  </si>
  <si>
    <t>Experiment 7</t>
  </si>
  <si>
    <t>Experiment 8</t>
  </si>
  <si>
    <t>Experiment 9</t>
  </si>
  <si>
    <t>Experiment 10</t>
  </si>
  <si>
    <t>Experiment 11</t>
  </si>
  <si>
    <t>Open to all Mturk workers. Poor data quality -- not included in analysis</t>
  </si>
  <si>
    <t>Lamda function crashed…synchronization was very slow and lots people did get matched.</t>
  </si>
  <si>
    <t>Starting from here, only open 20 minutes to avoid wasting money on solo people</t>
  </si>
  <si>
    <t>Experiment 12</t>
  </si>
  <si>
    <t>Experiment 13</t>
  </si>
  <si>
    <t>Experiment 14</t>
  </si>
  <si>
    <t>Experiment 15</t>
  </si>
  <si>
    <t>\</t>
  </si>
  <si>
    <t>Experiment 16</t>
  </si>
  <si>
    <t>Experiment 17</t>
  </si>
  <si>
    <t>Experiment 18</t>
  </si>
  <si>
    <t>Experiment 19</t>
  </si>
  <si>
    <t>Experiment 20</t>
  </si>
  <si>
    <t>Lambda function crashed…</t>
  </si>
  <si>
    <t>Experiment 21</t>
  </si>
  <si>
    <t>Experiment 22</t>
  </si>
  <si>
    <t>Experiment 23</t>
  </si>
  <si>
    <t xml:space="preserve">inactivity </t>
  </si>
  <si>
    <t>Experiment 24</t>
  </si>
  <si>
    <t>Experiment 25</t>
  </si>
  <si>
    <t>Experiment 26</t>
  </si>
  <si>
    <t>Experiment 27</t>
  </si>
  <si>
    <t>Mistakenly stopped the survey</t>
  </si>
  <si>
    <t>Open to all workers, 95% bar</t>
  </si>
  <si>
    <t>Open to all workers, 97% bar</t>
  </si>
  <si>
    <t>Change back to Cloudresearch participants</t>
  </si>
  <si>
    <t>Experiment 30</t>
  </si>
  <si>
    <t>Experiment 28</t>
  </si>
  <si>
    <t>Experiment 29</t>
  </si>
  <si>
    <t>Experiment 31</t>
  </si>
  <si>
    <t>Experiment 32</t>
  </si>
  <si>
    <t>Experiment 33</t>
  </si>
  <si>
    <t>Experiment 34</t>
  </si>
  <si>
    <t>Experiment 35</t>
  </si>
  <si>
    <t>Experiment 36</t>
  </si>
  <si>
    <t>Experiment 37</t>
  </si>
  <si>
    <t>Experiment 38</t>
  </si>
  <si>
    <t>Experiment 39</t>
  </si>
  <si>
    <t>Experiment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</si>
</sst>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4" fillId="0" borderId="0" xfId="0" applyFont="1"/>
    <xf numFmtId="16" fontId="4" fillId="0" borderId="0" xfId="0" applyNumberFormat="1" applyFont="1"/>
    <xf numFmtId="0" fontId="4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jun Cao" id="{3A8CEBDF-2604-4C4B-B930-0252041B6D54}" userId="S::ycao@hbs.edu::480d2188-f0ab-49e5-9057-e1fa8fcaf4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8" dT="2023-01-31T17:06:50.63" personId="{3A8CEBDF-2604-4C4B-B930-0252041B6D54}" id="{BBA941AB-FC97-994F-AE24-13CF7CE6231F}">
    <text>Not really completed because I mistakenly ended the survey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E4B7-50C3-E04A-A2A7-2D673636F6C7}">
  <dimension ref="A1:P47"/>
  <sheetViews>
    <sheetView tabSelected="1" zoomScale="150" workbookViewId="0">
      <pane ySplit="1" topLeftCell="A6" activePane="bottomLeft" state="frozen"/>
      <selection pane="bottomLeft" activeCell="E41" sqref="E41"/>
    </sheetView>
  </sheetViews>
  <sheetFormatPr baseColWidth="10" defaultRowHeight="16" x14ac:dyDescent="0.2"/>
  <cols>
    <col min="1" max="1" width="13" bestFit="1" customWidth="1"/>
    <col min="3" max="3" width="23.6640625" bestFit="1" customWidth="1"/>
    <col min="7" max="7" width="10.1640625" bestFit="1" customWidth="1"/>
    <col min="8" max="8" width="14.33203125" bestFit="1" customWidth="1"/>
    <col min="9" max="9" width="19" style="2" bestFit="1" customWidth="1"/>
    <col min="10" max="10" width="17.5" bestFit="1" customWidth="1"/>
    <col min="11" max="11" width="12.33203125" bestFit="1" customWidth="1"/>
    <col min="12" max="12" width="18.33203125" style="4" bestFit="1" customWidth="1"/>
    <col min="13" max="13" width="20.6640625" bestFit="1" customWidth="1"/>
    <col min="15" max="15" width="27.1640625" customWidth="1"/>
  </cols>
  <sheetData>
    <row r="1" spans="1:16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15</v>
      </c>
      <c r="H1" t="s">
        <v>7</v>
      </c>
      <c r="I1" s="3" t="s">
        <v>8</v>
      </c>
      <c r="J1" s="2" t="s">
        <v>45</v>
      </c>
      <c r="K1" s="2" t="s">
        <v>9</v>
      </c>
      <c r="L1" s="2" t="s">
        <v>10</v>
      </c>
      <c r="M1" s="2" t="s">
        <v>16</v>
      </c>
      <c r="O1" t="s">
        <v>17</v>
      </c>
    </row>
    <row r="2" spans="1:16" x14ac:dyDescent="0.2">
      <c r="A2" t="s">
        <v>5</v>
      </c>
      <c r="B2" s="1">
        <v>44841</v>
      </c>
      <c r="C2">
        <v>83</v>
      </c>
      <c r="D2">
        <v>24</v>
      </c>
      <c r="E2">
        <f>C2-D2</f>
        <v>59</v>
      </c>
      <c r="F2">
        <f t="shared" ref="F2:F32" si="0">D2/C2</f>
        <v>0.28915662650602408</v>
      </c>
      <c r="G2">
        <v>23</v>
      </c>
      <c r="H2">
        <f t="shared" ref="H2:H23" si="1">G2/C2</f>
        <v>0.27710843373493976</v>
      </c>
      <c r="J2">
        <v>14</v>
      </c>
      <c r="K2">
        <f t="shared" ref="K2:K7" si="2">(J2)/E2</f>
        <v>0.23728813559322035</v>
      </c>
      <c r="L2">
        <v>22</v>
      </c>
      <c r="M2">
        <f>L2/E2</f>
        <v>0.3728813559322034</v>
      </c>
    </row>
    <row r="3" spans="1:16" x14ac:dyDescent="0.2">
      <c r="A3" t="s">
        <v>6</v>
      </c>
      <c r="B3" s="1">
        <v>44867</v>
      </c>
      <c r="C3">
        <v>119</v>
      </c>
      <c r="D3">
        <v>14</v>
      </c>
      <c r="E3">
        <f>C3-D3</f>
        <v>105</v>
      </c>
      <c r="F3">
        <f t="shared" si="0"/>
        <v>0.11764705882352941</v>
      </c>
      <c r="G3">
        <v>30</v>
      </c>
      <c r="H3">
        <f t="shared" si="1"/>
        <v>0.25210084033613445</v>
      </c>
      <c r="J3">
        <v>7</v>
      </c>
      <c r="K3">
        <f t="shared" si="2"/>
        <v>6.6666666666666666E-2</v>
      </c>
      <c r="L3">
        <v>67</v>
      </c>
      <c r="M3">
        <f>L3/E3</f>
        <v>0.63809523809523805</v>
      </c>
    </row>
    <row r="4" spans="1:16" x14ac:dyDescent="0.2">
      <c r="A4" t="s">
        <v>11</v>
      </c>
      <c r="B4" s="1">
        <v>44879</v>
      </c>
      <c r="C4">
        <v>159</v>
      </c>
      <c r="D4">
        <v>30</v>
      </c>
      <c r="E4">
        <v>129</v>
      </c>
      <c r="F4">
        <f t="shared" si="0"/>
        <v>0.18867924528301888</v>
      </c>
      <c r="G4">
        <v>33</v>
      </c>
      <c r="H4">
        <f t="shared" si="1"/>
        <v>0.20754716981132076</v>
      </c>
      <c r="J4">
        <v>28</v>
      </c>
      <c r="K4">
        <f t="shared" si="2"/>
        <v>0.21705426356589147</v>
      </c>
      <c r="L4">
        <f t="shared" ref="L4:L15" si="3">E4-J4</f>
        <v>101</v>
      </c>
      <c r="M4">
        <f>L4/E4</f>
        <v>0.78294573643410847</v>
      </c>
      <c r="O4" t="s">
        <v>18</v>
      </c>
    </row>
    <row r="5" spans="1:16" x14ac:dyDescent="0.2">
      <c r="A5" t="s">
        <v>13</v>
      </c>
      <c r="B5" s="1">
        <v>44886</v>
      </c>
      <c r="C5">
        <v>124</v>
      </c>
      <c r="D5">
        <v>12</v>
      </c>
      <c r="E5">
        <f t="shared" ref="E5:E36" si="4">C5-D5</f>
        <v>112</v>
      </c>
      <c r="F5">
        <f t="shared" si="0"/>
        <v>9.6774193548387094E-2</v>
      </c>
      <c r="G5">
        <v>34</v>
      </c>
      <c r="H5">
        <f t="shared" si="1"/>
        <v>0.27419354838709675</v>
      </c>
      <c r="J5">
        <v>19</v>
      </c>
      <c r="K5">
        <f t="shared" si="2"/>
        <v>0.16964285714285715</v>
      </c>
      <c r="L5">
        <f t="shared" si="3"/>
        <v>93</v>
      </c>
      <c r="M5">
        <f>L5/E5</f>
        <v>0.8303571428571429</v>
      </c>
    </row>
    <row r="6" spans="1:16" x14ac:dyDescent="0.2">
      <c r="A6" t="s">
        <v>14</v>
      </c>
      <c r="B6" s="1">
        <v>44887</v>
      </c>
      <c r="C6">
        <v>141</v>
      </c>
      <c r="D6">
        <v>20</v>
      </c>
      <c r="E6">
        <f t="shared" si="4"/>
        <v>121</v>
      </c>
      <c r="F6">
        <f t="shared" si="0"/>
        <v>0.14184397163120568</v>
      </c>
      <c r="G6">
        <v>36</v>
      </c>
      <c r="H6">
        <f t="shared" si="1"/>
        <v>0.25531914893617019</v>
      </c>
      <c r="J6">
        <v>6</v>
      </c>
      <c r="K6">
        <f t="shared" si="2"/>
        <v>4.9586776859504134E-2</v>
      </c>
      <c r="L6">
        <f t="shared" si="3"/>
        <v>115</v>
      </c>
      <c r="M6">
        <f>L6/E6</f>
        <v>0.95041322314049592</v>
      </c>
      <c r="O6" t="s">
        <v>19</v>
      </c>
    </row>
    <row r="7" spans="1:16" x14ac:dyDescent="0.2">
      <c r="A7" t="s">
        <v>20</v>
      </c>
      <c r="B7" s="1">
        <v>44896</v>
      </c>
      <c r="C7">
        <v>120</v>
      </c>
      <c r="D7">
        <v>32</v>
      </c>
      <c r="E7">
        <f t="shared" si="4"/>
        <v>88</v>
      </c>
      <c r="F7">
        <f t="shared" si="0"/>
        <v>0.26666666666666666</v>
      </c>
      <c r="G7">
        <v>31</v>
      </c>
      <c r="H7">
        <f t="shared" si="1"/>
        <v>0.25833333333333336</v>
      </c>
      <c r="J7">
        <v>9</v>
      </c>
      <c r="K7">
        <f t="shared" si="2"/>
        <v>0.10227272727272728</v>
      </c>
      <c r="L7">
        <f t="shared" si="3"/>
        <v>79</v>
      </c>
      <c r="M7">
        <f t="shared" ref="M7:M15" si="5">L7/E7</f>
        <v>0.89772727272727271</v>
      </c>
    </row>
    <row r="8" spans="1:16" x14ac:dyDescent="0.2">
      <c r="A8" t="s">
        <v>21</v>
      </c>
      <c r="B8" s="1">
        <v>44897</v>
      </c>
      <c r="C8">
        <v>82</v>
      </c>
      <c r="D8">
        <v>37</v>
      </c>
      <c r="E8">
        <f t="shared" si="4"/>
        <v>45</v>
      </c>
      <c r="F8" s="5">
        <f t="shared" si="0"/>
        <v>0.45121951219512196</v>
      </c>
      <c r="G8">
        <v>11</v>
      </c>
      <c r="H8">
        <f t="shared" si="1"/>
        <v>0.13414634146341464</v>
      </c>
      <c r="J8">
        <v>1</v>
      </c>
      <c r="K8">
        <f t="shared" ref="K8:K11" si="6">(J8)/E8</f>
        <v>2.2222222222222223E-2</v>
      </c>
      <c r="L8">
        <f t="shared" si="3"/>
        <v>44</v>
      </c>
      <c r="M8">
        <f t="shared" si="5"/>
        <v>0.97777777777777775</v>
      </c>
    </row>
    <row r="9" spans="1:16" x14ac:dyDescent="0.2">
      <c r="A9" t="s">
        <v>22</v>
      </c>
      <c r="B9" s="1">
        <v>44900</v>
      </c>
      <c r="C9">
        <v>75</v>
      </c>
      <c r="D9">
        <v>14</v>
      </c>
      <c r="E9">
        <f t="shared" si="4"/>
        <v>61</v>
      </c>
      <c r="F9">
        <f t="shared" si="0"/>
        <v>0.18666666666666668</v>
      </c>
      <c r="G9">
        <v>24</v>
      </c>
      <c r="H9">
        <f t="shared" si="1"/>
        <v>0.32</v>
      </c>
      <c r="J9">
        <v>6</v>
      </c>
      <c r="K9">
        <f t="shared" si="6"/>
        <v>9.8360655737704916E-2</v>
      </c>
      <c r="L9">
        <f t="shared" si="3"/>
        <v>55</v>
      </c>
      <c r="M9">
        <f t="shared" si="5"/>
        <v>0.90163934426229508</v>
      </c>
    </row>
    <row r="10" spans="1:16" x14ac:dyDescent="0.2">
      <c r="A10" t="s">
        <v>23</v>
      </c>
      <c r="B10" s="1">
        <v>45266</v>
      </c>
      <c r="C10">
        <v>61</v>
      </c>
      <c r="D10">
        <v>30</v>
      </c>
      <c r="E10">
        <f t="shared" si="4"/>
        <v>31</v>
      </c>
      <c r="F10">
        <f t="shared" si="0"/>
        <v>0.49180327868852458</v>
      </c>
      <c r="G10">
        <v>5</v>
      </c>
      <c r="H10">
        <f t="shared" si="1"/>
        <v>8.1967213114754092E-2</v>
      </c>
      <c r="J10">
        <v>2</v>
      </c>
      <c r="K10">
        <f t="shared" si="6"/>
        <v>6.4516129032258063E-2</v>
      </c>
      <c r="L10">
        <f t="shared" si="3"/>
        <v>29</v>
      </c>
      <c r="M10">
        <f t="shared" si="5"/>
        <v>0.93548387096774188</v>
      </c>
    </row>
    <row r="11" spans="1:16" x14ac:dyDescent="0.2">
      <c r="A11" t="s">
        <v>24</v>
      </c>
      <c r="B11" s="1">
        <v>44929</v>
      </c>
      <c r="C11">
        <v>92</v>
      </c>
      <c r="D11">
        <v>45</v>
      </c>
      <c r="E11">
        <f t="shared" si="4"/>
        <v>47</v>
      </c>
      <c r="F11">
        <f t="shared" si="0"/>
        <v>0.4891304347826087</v>
      </c>
      <c r="G11">
        <v>19</v>
      </c>
      <c r="H11">
        <f t="shared" si="1"/>
        <v>0.20652173913043478</v>
      </c>
      <c r="J11">
        <v>2</v>
      </c>
      <c r="K11">
        <f t="shared" si="6"/>
        <v>4.2553191489361701E-2</v>
      </c>
      <c r="L11">
        <f t="shared" si="3"/>
        <v>45</v>
      </c>
      <c r="M11">
        <f t="shared" si="5"/>
        <v>0.95744680851063835</v>
      </c>
    </row>
    <row r="13" spans="1:16" x14ac:dyDescent="0.2">
      <c r="A13" t="s">
        <v>26</v>
      </c>
      <c r="B13" s="1">
        <v>44939</v>
      </c>
      <c r="C13">
        <v>25</v>
      </c>
      <c r="D13">
        <v>5</v>
      </c>
      <c r="E13">
        <f>C13-D13</f>
        <v>20</v>
      </c>
      <c r="F13">
        <f>D13/C13</f>
        <v>0.2</v>
      </c>
      <c r="G13">
        <v>6</v>
      </c>
      <c r="H13">
        <f>G13/C13</f>
        <v>0.24</v>
      </c>
      <c r="J13">
        <v>0</v>
      </c>
      <c r="K13">
        <f>(J13)/E13</f>
        <v>0</v>
      </c>
      <c r="L13">
        <f>E13-J13</f>
        <v>20</v>
      </c>
      <c r="M13">
        <f>L13/E13</f>
        <v>1</v>
      </c>
      <c r="O13" t="s">
        <v>29</v>
      </c>
      <c r="P13" t="s">
        <v>30</v>
      </c>
    </row>
    <row r="14" spans="1:16" x14ac:dyDescent="0.2">
      <c r="A14" t="s">
        <v>27</v>
      </c>
      <c r="B14" s="1">
        <v>44943</v>
      </c>
      <c r="C14">
        <v>44</v>
      </c>
      <c r="D14">
        <v>8</v>
      </c>
      <c r="E14">
        <f t="shared" si="4"/>
        <v>36</v>
      </c>
      <c r="F14">
        <f t="shared" si="0"/>
        <v>0.18181818181818182</v>
      </c>
      <c r="G14">
        <v>7</v>
      </c>
      <c r="H14">
        <f t="shared" si="1"/>
        <v>0.15909090909090909</v>
      </c>
      <c r="J14">
        <v>1</v>
      </c>
      <c r="K14">
        <f>(J14)/E14</f>
        <v>2.7777777777777776E-2</v>
      </c>
      <c r="L14">
        <f t="shared" si="3"/>
        <v>35</v>
      </c>
      <c r="M14">
        <f t="shared" si="5"/>
        <v>0.97222222222222221</v>
      </c>
    </row>
    <row r="15" spans="1:16" x14ac:dyDescent="0.2">
      <c r="A15" t="s">
        <v>31</v>
      </c>
      <c r="B15" s="1">
        <v>44944</v>
      </c>
      <c r="C15">
        <v>84</v>
      </c>
      <c r="D15">
        <v>26</v>
      </c>
      <c r="E15">
        <f t="shared" si="4"/>
        <v>58</v>
      </c>
      <c r="F15">
        <f t="shared" si="0"/>
        <v>0.30952380952380953</v>
      </c>
      <c r="G15">
        <v>24</v>
      </c>
      <c r="H15">
        <f t="shared" si="1"/>
        <v>0.2857142857142857</v>
      </c>
      <c r="J15">
        <v>10</v>
      </c>
      <c r="K15">
        <f>(J15)/E15</f>
        <v>0.17241379310344829</v>
      </c>
      <c r="L15">
        <f t="shared" si="3"/>
        <v>48</v>
      </c>
      <c r="M15">
        <f t="shared" si="5"/>
        <v>0.82758620689655171</v>
      </c>
    </row>
    <row r="16" spans="1:16" x14ac:dyDescent="0.2">
      <c r="A16" t="s">
        <v>32</v>
      </c>
      <c r="B16" s="1">
        <v>44945</v>
      </c>
      <c r="C16">
        <v>41</v>
      </c>
      <c r="D16">
        <v>12</v>
      </c>
      <c r="E16">
        <f t="shared" si="4"/>
        <v>29</v>
      </c>
      <c r="F16">
        <f t="shared" si="0"/>
        <v>0.29268292682926828</v>
      </c>
      <c r="G16">
        <v>3</v>
      </c>
      <c r="H16">
        <f t="shared" si="1"/>
        <v>7.3170731707317069E-2</v>
      </c>
      <c r="J16">
        <v>0</v>
      </c>
      <c r="K16">
        <f>(J16)/E16</f>
        <v>0</v>
      </c>
      <c r="L16">
        <f t="shared" ref="L16:L31" si="7">E16-J16</f>
        <v>29</v>
      </c>
      <c r="M16">
        <f t="shared" ref="M16:M30" si="8">L16/E16</f>
        <v>1</v>
      </c>
    </row>
    <row r="17" spans="1:15" x14ac:dyDescent="0.2">
      <c r="A17" t="s">
        <v>33</v>
      </c>
      <c r="B17" s="1">
        <v>44946</v>
      </c>
      <c r="C17">
        <v>55</v>
      </c>
      <c r="D17">
        <v>6</v>
      </c>
      <c r="E17">
        <f t="shared" si="4"/>
        <v>49</v>
      </c>
      <c r="F17">
        <f t="shared" si="0"/>
        <v>0.10909090909090909</v>
      </c>
      <c r="G17">
        <v>20</v>
      </c>
      <c r="H17">
        <f t="shared" si="1"/>
        <v>0.36363636363636365</v>
      </c>
      <c r="J17">
        <v>3</v>
      </c>
      <c r="K17">
        <f>(J17)/E17</f>
        <v>6.1224489795918366E-2</v>
      </c>
      <c r="L17">
        <f t="shared" si="7"/>
        <v>46</v>
      </c>
      <c r="M17">
        <f t="shared" si="8"/>
        <v>0.93877551020408168</v>
      </c>
    </row>
    <row r="18" spans="1:15" x14ac:dyDescent="0.2">
      <c r="A18" t="s">
        <v>34</v>
      </c>
      <c r="B18" s="1">
        <v>44949</v>
      </c>
      <c r="C18">
        <v>50</v>
      </c>
      <c r="D18">
        <v>8</v>
      </c>
      <c r="E18">
        <f t="shared" si="4"/>
        <v>42</v>
      </c>
      <c r="F18">
        <f t="shared" si="0"/>
        <v>0.16</v>
      </c>
      <c r="G18">
        <v>15</v>
      </c>
      <c r="H18">
        <f t="shared" si="1"/>
        <v>0.3</v>
      </c>
      <c r="J18" t="s">
        <v>35</v>
      </c>
      <c r="K18" t="s">
        <v>35</v>
      </c>
      <c r="L18">
        <v>42</v>
      </c>
      <c r="M18" t="s">
        <v>35</v>
      </c>
      <c r="O18" t="s">
        <v>50</v>
      </c>
    </row>
    <row r="19" spans="1:15" x14ac:dyDescent="0.2">
      <c r="A19" t="s">
        <v>36</v>
      </c>
      <c r="B19" s="1">
        <v>44950</v>
      </c>
      <c r="C19">
        <v>80</v>
      </c>
      <c r="D19">
        <v>21</v>
      </c>
      <c r="E19">
        <f t="shared" si="4"/>
        <v>59</v>
      </c>
      <c r="F19">
        <f t="shared" si="0"/>
        <v>0.26250000000000001</v>
      </c>
      <c r="G19">
        <v>4</v>
      </c>
      <c r="H19">
        <f t="shared" si="1"/>
        <v>0.05</v>
      </c>
      <c r="J19">
        <v>0</v>
      </c>
      <c r="K19">
        <f>(J19)/E19</f>
        <v>0</v>
      </c>
      <c r="L19">
        <f t="shared" si="7"/>
        <v>59</v>
      </c>
      <c r="M19">
        <f t="shared" si="8"/>
        <v>1</v>
      </c>
    </row>
    <row r="20" spans="1:15" x14ac:dyDescent="0.2">
      <c r="A20" t="s">
        <v>39</v>
      </c>
      <c r="B20" s="1">
        <v>44956</v>
      </c>
      <c r="C20">
        <v>44</v>
      </c>
      <c r="D20">
        <v>13</v>
      </c>
      <c r="E20">
        <f t="shared" si="4"/>
        <v>31</v>
      </c>
      <c r="F20">
        <f t="shared" si="0"/>
        <v>0.29545454545454547</v>
      </c>
      <c r="G20">
        <v>15</v>
      </c>
      <c r="H20">
        <f t="shared" si="1"/>
        <v>0.34090909090909088</v>
      </c>
      <c r="J20">
        <v>8</v>
      </c>
      <c r="K20">
        <f>(J20)/E20</f>
        <v>0.25806451612903225</v>
      </c>
      <c r="L20">
        <f t="shared" si="7"/>
        <v>23</v>
      </c>
      <c r="M20">
        <f t="shared" si="8"/>
        <v>0.74193548387096775</v>
      </c>
    </row>
    <row r="21" spans="1:15" x14ac:dyDescent="0.2">
      <c r="A21" t="s">
        <v>40</v>
      </c>
      <c r="B21" s="1">
        <v>44957</v>
      </c>
      <c r="C21">
        <v>30</v>
      </c>
      <c r="D21">
        <v>15</v>
      </c>
      <c r="E21">
        <f t="shared" si="4"/>
        <v>15</v>
      </c>
      <c r="F21">
        <f t="shared" si="0"/>
        <v>0.5</v>
      </c>
      <c r="G21">
        <v>5</v>
      </c>
      <c r="H21">
        <f t="shared" si="1"/>
        <v>0.16666666666666666</v>
      </c>
      <c r="J21">
        <v>6</v>
      </c>
      <c r="K21">
        <f>(J21)/E21</f>
        <v>0.4</v>
      </c>
      <c r="L21">
        <f t="shared" si="7"/>
        <v>9</v>
      </c>
      <c r="M21">
        <f t="shared" si="8"/>
        <v>0.6</v>
      </c>
    </row>
    <row r="22" spans="1:15" x14ac:dyDescent="0.2">
      <c r="A22" t="s">
        <v>42</v>
      </c>
      <c r="B22" s="1">
        <v>44958</v>
      </c>
      <c r="C22">
        <v>27</v>
      </c>
      <c r="D22">
        <v>10</v>
      </c>
      <c r="E22">
        <f t="shared" si="4"/>
        <v>17</v>
      </c>
      <c r="F22">
        <f t="shared" si="0"/>
        <v>0.37037037037037035</v>
      </c>
      <c r="G22">
        <v>7</v>
      </c>
      <c r="H22">
        <f t="shared" si="1"/>
        <v>0.25925925925925924</v>
      </c>
      <c r="J22">
        <v>4</v>
      </c>
      <c r="K22">
        <f>(J22)/E22</f>
        <v>0.23529411764705882</v>
      </c>
      <c r="L22">
        <f t="shared" si="7"/>
        <v>13</v>
      </c>
      <c r="M22">
        <f t="shared" si="8"/>
        <v>0.76470588235294112</v>
      </c>
    </row>
    <row r="23" spans="1:15" x14ac:dyDescent="0.2">
      <c r="A23" t="s">
        <v>43</v>
      </c>
      <c r="B23" s="1">
        <v>44959</v>
      </c>
      <c r="C23">
        <v>50</v>
      </c>
      <c r="D23">
        <v>19</v>
      </c>
      <c r="E23">
        <f t="shared" si="4"/>
        <v>31</v>
      </c>
      <c r="F23">
        <f t="shared" si="0"/>
        <v>0.38</v>
      </c>
      <c r="G23">
        <v>25</v>
      </c>
      <c r="H23">
        <f t="shared" si="1"/>
        <v>0.5</v>
      </c>
      <c r="J23">
        <v>3</v>
      </c>
      <c r="K23">
        <f>(J23)/E23</f>
        <v>9.6774193548387094E-2</v>
      </c>
      <c r="L23">
        <f t="shared" si="7"/>
        <v>28</v>
      </c>
      <c r="M23">
        <f t="shared" si="8"/>
        <v>0.90322580645161288</v>
      </c>
    </row>
    <row r="24" spans="1:15" x14ac:dyDescent="0.2">
      <c r="A24" t="s">
        <v>44</v>
      </c>
      <c r="B24" s="1">
        <v>44960</v>
      </c>
      <c r="C24">
        <v>30</v>
      </c>
      <c r="D24">
        <v>8</v>
      </c>
      <c r="E24">
        <f t="shared" si="4"/>
        <v>22</v>
      </c>
      <c r="F24">
        <f t="shared" si="0"/>
        <v>0.26666666666666666</v>
      </c>
      <c r="G24">
        <v>6</v>
      </c>
      <c r="H24">
        <f>G24/C24</f>
        <v>0.2</v>
      </c>
      <c r="K24">
        <f t="shared" ref="K24:K31" si="9">(J24)/E24</f>
        <v>0</v>
      </c>
      <c r="L24">
        <f t="shared" si="7"/>
        <v>22</v>
      </c>
      <c r="M24">
        <f t="shared" si="8"/>
        <v>1</v>
      </c>
    </row>
    <row r="25" spans="1:15" x14ac:dyDescent="0.2">
      <c r="A25" t="s">
        <v>46</v>
      </c>
      <c r="B25" s="1">
        <v>44964</v>
      </c>
      <c r="C25">
        <v>66</v>
      </c>
      <c r="D25">
        <v>15</v>
      </c>
      <c r="E25">
        <f t="shared" si="4"/>
        <v>51</v>
      </c>
      <c r="F25">
        <f t="shared" si="0"/>
        <v>0.22727272727272727</v>
      </c>
      <c r="G25" s="10">
        <v>47</v>
      </c>
      <c r="H25" s="10">
        <f t="shared" ref="H25:H32" si="10">G25/C25</f>
        <v>0.71212121212121215</v>
      </c>
      <c r="J25">
        <v>10</v>
      </c>
      <c r="K25">
        <f t="shared" si="9"/>
        <v>0.19607843137254902</v>
      </c>
      <c r="L25">
        <f t="shared" si="7"/>
        <v>41</v>
      </c>
      <c r="M25">
        <f t="shared" si="8"/>
        <v>0.80392156862745101</v>
      </c>
      <c r="O25" t="s">
        <v>51</v>
      </c>
    </row>
    <row r="26" spans="1:15" x14ac:dyDescent="0.2">
      <c r="A26" t="s">
        <v>47</v>
      </c>
      <c r="B26" s="1">
        <v>44965</v>
      </c>
      <c r="C26">
        <v>47</v>
      </c>
      <c r="D26">
        <v>17</v>
      </c>
      <c r="E26">
        <f t="shared" si="4"/>
        <v>30</v>
      </c>
      <c r="F26">
        <f t="shared" si="0"/>
        <v>0.36170212765957449</v>
      </c>
      <c r="G26" s="10">
        <v>28</v>
      </c>
      <c r="H26" s="10">
        <f t="shared" si="10"/>
        <v>0.5957446808510638</v>
      </c>
      <c r="J26">
        <v>8</v>
      </c>
      <c r="K26">
        <f t="shared" si="9"/>
        <v>0.26666666666666666</v>
      </c>
      <c r="L26">
        <f t="shared" si="7"/>
        <v>22</v>
      </c>
      <c r="M26">
        <f t="shared" si="8"/>
        <v>0.73333333333333328</v>
      </c>
      <c r="O26" t="s">
        <v>52</v>
      </c>
    </row>
    <row r="27" spans="1:15" x14ac:dyDescent="0.2">
      <c r="A27" t="s">
        <v>48</v>
      </c>
      <c r="B27" s="1">
        <v>44973</v>
      </c>
      <c r="C27">
        <v>53</v>
      </c>
      <c r="D27">
        <v>12</v>
      </c>
      <c r="E27">
        <f t="shared" si="4"/>
        <v>41</v>
      </c>
      <c r="F27">
        <f t="shared" si="0"/>
        <v>0.22641509433962265</v>
      </c>
      <c r="G27">
        <v>24</v>
      </c>
      <c r="H27">
        <f t="shared" si="10"/>
        <v>0.45283018867924529</v>
      </c>
      <c r="J27">
        <v>13</v>
      </c>
      <c r="K27">
        <f t="shared" si="9"/>
        <v>0.31707317073170732</v>
      </c>
      <c r="L27">
        <f t="shared" si="7"/>
        <v>28</v>
      </c>
      <c r="M27">
        <f t="shared" si="8"/>
        <v>0.68292682926829273</v>
      </c>
      <c r="O27" t="s">
        <v>53</v>
      </c>
    </row>
    <row r="28" spans="1:15" x14ac:dyDescent="0.2">
      <c r="A28" t="s">
        <v>49</v>
      </c>
      <c r="B28" s="1">
        <v>44974</v>
      </c>
      <c r="C28">
        <v>53</v>
      </c>
      <c r="D28">
        <v>9</v>
      </c>
      <c r="E28">
        <f t="shared" si="4"/>
        <v>44</v>
      </c>
      <c r="F28">
        <f t="shared" si="0"/>
        <v>0.16981132075471697</v>
      </c>
      <c r="G28">
        <v>19</v>
      </c>
      <c r="H28">
        <f t="shared" si="10"/>
        <v>0.35849056603773582</v>
      </c>
      <c r="J28">
        <v>6</v>
      </c>
      <c r="K28">
        <f t="shared" si="9"/>
        <v>0.13636363636363635</v>
      </c>
      <c r="L28">
        <f t="shared" si="7"/>
        <v>38</v>
      </c>
      <c r="M28">
        <f t="shared" si="8"/>
        <v>0.86363636363636365</v>
      </c>
    </row>
    <row r="29" spans="1:15" x14ac:dyDescent="0.2">
      <c r="A29" t="s">
        <v>55</v>
      </c>
      <c r="B29" s="1">
        <v>44978</v>
      </c>
      <c r="C29">
        <v>43</v>
      </c>
      <c r="D29">
        <v>8</v>
      </c>
      <c r="E29">
        <f t="shared" si="4"/>
        <v>35</v>
      </c>
      <c r="F29">
        <f t="shared" si="0"/>
        <v>0.18604651162790697</v>
      </c>
      <c r="G29">
        <v>9</v>
      </c>
      <c r="H29">
        <f t="shared" si="10"/>
        <v>0.20930232558139536</v>
      </c>
      <c r="J29">
        <v>4</v>
      </c>
      <c r="K29">
        <f t="shared" si="9"/>
        <v>0.11428571428571428</v>
      </c>
      <c r="L29">
        <f t="shared" si="7"/>
        <v>31</v>
      </c>
      <c r="M29">
        <f t="shared" si="8"/>
        <v>0.88571428571428568</v>
      </c>
    </row>
    <row r="30" spans="1:15" x14ac:dyDescent="0.2">
      <c r="A30" t="s">
        <v>56</v>
      </c>
      <c r="B30" s="1">
        <v>44979</v>
      </c>
      <c r="C30">
        <v>31</v>
      </c>
      <c r="D30">
        <v>4</v>
      </c>
      <c r="E30">
        <f t="shared" si="4"/>
        <v>27</v>
      </c>
      <c r="F30">
        <f t="shared" si="0"/>
        <v>0.12903225806451613</v>
      </c>
      <c r="G30">
        <v>13</v>
      </c>
      <c r="H30">
        <f t="shared" si="10"/>
        <v>0.41935483870967744</v>
      </c>
      <c r="J30">
        <v>4</v>
      </c>
      <c r="K30">
        <f t="shared" si="9"/>
        <v>0.14814814814814814</v>
      </c>
      <c r="L30">
        <f t="shared" si="7"/>
        <v>23</v>
      </c>
      <c r="M30">
        <f t="shared" si="8"/>
        <v>0.85185185185185186</v>
      </c>
    </row>
    <row r="31" spans="1:15" x14ac:dyDescent="0.2">
      <c r="A31" t="s">
        <v>54</v>
      </c>
      <c r="B31" s="1">
        <v>44986</v>
      </c>
      <c r="C31">
        <v>182</v>
      </c>
      <c r="D31">
        <v>39</v>
      </c>
      <c r="E31">
        <f t="shared" si="4"/>
        <v>143</v>
      </c>
      <c r="F31">
        <f t="shared" si="0"/>
        <v>0.21428571428571427</v>
      </c>
      <c r="G31">
        <v>58</v>
      </c>
      <c r="H31">
        <f t="shared" si="10"/>
        <v>0.31868131868131866</v>
      </c>
      <c r="J31">
        <v>23</v>
      </c>
      <c r="K31">
        <f t="shared" si="9"/>
        <v>0.16083916083916083</v>
      </c>
      <c r="L31">
        <f t="shared" si="7"/>
        <v>120</v>
      </c>
      <c r="M31">
        <f>L31/E31</f>
        <v>0.83916083916083917</v>
      </c>
    </row>
    <row r="32" spans="1:15" x14ac:dyDescent="0.2">
      <c r="A32" t="s">
        <v>57</v>
      </c>
      <c r="B32" s="1">
        <v>44987</v>
      </c>
      <c r="C32">
        <v>34</v>
      </c>
      <c r="D32">
        <v>23</v>
      </c>
      <c r="E32">
        <f t="shared" si="4"/>
        <v>11</v>
      </c>
      <c r="F32">
        <f t="shared" si="0"/>
        <v>0.67647058823529416</v>
      </c>
      <c r="G32">
        <v>11</v>
      </c>
      <c r="H32">
        <f t="shared" si="10"/>
        <v>0.3235294117647059</v>
      </c>
      <c r="J32">
        <v>1</v>
      </c>
      <c r="K32">
        <f t="shared" ref="K32:K36" si="11">(J32)/E32</f>
        <v>9.0909090909090912E-2</v>
      </c>
      <c r="L32">
        <f t="shared" ref="L32:L36" si="12">E32-J32</f>
        <v>10</v>
      </c>
      <c r="M32">
        <f t="shared" ref="M32:M36" si="13">L32/E32</f>
        <v>0.90909090909090906</v>
      </c>
    </row>
    <row r="33" spans="1:15" x14ac:dyDescent="0.2">
      <c r="A33" t="s">
        <v>58</v>
      </c>
      <c r="B33" s="1">
        <v>44988</v>
      </c>
      <c r="C33">
        <v>25</v>
      </c>
      <c r="D33">
        <v>20</v>
      </c>
      <c r="E33">
        <f t="shared" si="4"/>
        <v>5</v>
      </c>
      <c r="F33">
        <f t="shared" ref="F33:F36" si="14">D33/C33</f>
        <v>0.8</v>
      </c>
      <c r="G33">
        <v>6</v>
      </c>
      <c r="H33">
        <f t="shared" ref="H33:H36" si="15">G33/C33</f>
        <v>0.24</v>
      </c>
      <c r="J33">
        <v>1</v>
      </c>
      <c r="K33">
        <f t="shared" si="11"/>
        <v>0.2</v>
      </c>
      <c r="L33">
        <f t="shared" si="12"/>
        <v>4</v>
      </c>
      <c r="M33">
        <f t="shared" si="13"/>
        <v>0.8</v>
      </c>
    </row>
    <row r="34" spans="1:15" x14ac:dyDescent="0.2">
      <c r="A34" t="s">
        <v>59</v>
      </c>
      <c r="B34" s="1">
        <v>44992</v>
      </c>
      <c r="C34">
        <v>66</v>
      </c>
      <c r="D34">
        <v>42</v>
      </c>
      <c r="E34">
        <f t="shared" si="4"/>
        <v>24</v>
      </c>
      <c r="F34">
        <f t="shared" si="14"/>
        <v>0.63636363636363635</v>
      </c>
      <c r="G34">
        <v>20</v>
      </c>
      <c r="H34">
        <f t="shared" si="15"/>
        <v>0.30303030303030304</v>
      </c>
      <c r="J34">
        <v>1</v>
      </c>
      <c r="K34">
        <f t="shared" si="11"/>
        <v>4.1666666666666664E-2</v>
      </c>
      <c r="L34">
        <f t="shared" si="12"/>
        <v>23</v>
      </c>
      <c r="M34">
        <f t="shared" si="13"/>
        <v>0.95833333333333337</v>
      </c>
    </row>
    <row r="35" spans="1:15" x14ac:dyDescent="0.2">
      <c r="A35" t="s">
        <v>60</v>
      </c>
      <c r="B35" s="1">
        <v>44994</v>
      </c>
      <c r="C35">
        <v>60</v>
      </c>
      <c r="D35">
        <v>48</v>
      </c>
      <c r="E35">
        <f t="shared" si="4"/>
        <v>12</v>
      </c>
      <c r="F35">
        <f t="shared" si="14"/>
        <v>0.8</v>
      </c>
      <c r="G35">
        <v>18</v>
      </c>
      <c r="H35">
        <f t="shared" si="15"/>
        <v>0.3</v>
      </c>
      <c r="J35">
        <v>1</v>
      </c>
      <c r="K35">
        <f t="shared" si="11"/>
        <v>8.3333333333333329E-2</v>
      </c>
      <c r="L35">
        <f t="shared" si="12"/>
        <v>11</v>
      </c>
      <c r="M35">
        <f t="shared" si="13"/>
        <v>0.91666666666666663</v>
      </c>
    </row>
    <row r="36" spans="1:15" x14ac:dyDescent="0.2">
      <c r="A36" t="s">
        <v>61</v>
      </c>
      <c r="B36" s="1">
        <v>45001</v>
      </c>
      <c r="C36">
        <v>13</v>
      </c>
      <c r="D36">
        <v>7</v>
      </c>
      <c r="E36">
        <f t="shared" si="4"/>
        <v>6</v>
      </c>
      <c r="F36">
        <f t="shared" si="14"/>
        <v>0.53846153846153844</v>
      </c>
      <c r="G36">
        <v>5</v>
      </c>
      <c r="H36">
        <f t="shared" si="15"/>
        <v>0.38461538461538464</v>
      </c>
      <c r="J36">
        <v>2</v>
      </c>
      <c r="K36">
        <f t="shared" si="11"/>
        <v>0.33333333333333331</v>
      </c>
      <c r="L36">
        <f t="shared" si="12"/>
        <v>4</v>
      </c>
      <c r="M36">
        <f t="shared" si="13"/>
        <v>0.66666666666666663</v>
      </c>
    </row>
    <row r="37" spans="1:15" x14ac:dyDescent="0.2">
      <c r="A37" t="s">
        <v>62</v>
      </c>
      <c r="B37" s="1">
        <v>45006</v>
      </c>
      <c r="C37">
        <v>33</v>
      </c>
      <c r="D37">
        <v>20</v>
      </c>
      <c r="E37">
        <f>C37-D37</f>
        <v>13</v>
      </c>
      <c r="F37">
        <f>D37/C37</f>
        <v>0.60606060606060608</v>
      </c>
      <c r="G37">
        <v>13</v>
      </c>
      <c r="H37">
        <f>G37/C37</f>
        <v>0.39393939393939392</v>
      </c>
      <c r="J37">
        <v>1</v>
      </c>
      <c r="K37">
        <f>(J37)/E37</f>
        <v>7.6923076923076927E-2</v>
      </c>
      <c r="L37">
        <f>E37-J37</f>
        <v>12</v>
      </c>
      <c r="M37">
        <f>L37/E37</f>
        <v>0.92307692307692313</v>
      </c>
    </row>
    <row r="38" spans="1:15" x14ac:dyDescent="0.2">
      <c r="A38" t="s">
        <v>63</v>
      </c>
    </row>
    <row r="39" spans="1:15" x14ac:dyDescent="0.2">
      <c r="A39" t="s">
        <v>64</v>
      </c>
      <c r="B39" s="1">
        <v>45019</v>
      </c>
      <c r="C39">
        <v>31</v>
      </c>
      <c r="D39">
        <v>12</v>
      </c>
      <c r="E39">
        <f>C39-D39</f>
        <v>19</v>
      </c>
      <c r="F39">
        <f>D39/C39</f>
        <v>0.38709677419354838</v>
      </c>
      <c r="G39">
        <v>9</v>
      </c>
      <c r="H39">
        <f>G39/C39</f>
        <v>0.29032258064516131</v>
      </c>
      <c r="J39">
        <v>1</v>
      </c>
      <c r="K39">
        <f>(J39)/E39</f>
        <v>5.2631578947368418E-2</v>
      </c>
      <c r="L39">
        <f>E39-J39</f>
        <v>18</v>
      </c>
      <c r="M39">
        <f>L39/E39</f>
        <v>0.94736842105263153</v>
      </c>
    </row>
    <row r="40" spans="1:15" x14ac:dyDescent="0.2">
      <c r="A40" t="s">
        <v>65</v>
      </c>
      <c r="B40" s="1">
        <v>45020</v>
      </c>
      <c r="C40">
        <v>32</v>
      </c>
      <c r="D40">
        <v>15</v>
      </c>
      <c r="E40">
        <f>C40-D40</f>
        <v>17</v>
      </c>
      <c r="F40">
        <f>D40/C40</f>
        <v>0.46875</v>
      </c>
      <c r="G40">
        <v>6</v>
      </c>
      <c r="H40">
        <f>G40/C40</f>
        <v>0.1875</v>
      </c>
      <c r="J40">
        <v>1</v>
      </c>
      <c r="K40">
        <f>(J40)/E40</f>
        <v>5.8823529411764705E-2</v>
      </c>
      <c r="L40">
        <f>E40-J40</f>
        <v>16</v>
      </c>
      <c r="M40">
        <f>L40/E40</f>
        <v>0.94117647058823528</v>
      </c>
    </row>
    <row r="41" spans="1:15" x14ac:dyDescent="0.2">
      <c r="A41" t="s">
        <v>66</v>
      </c>
      <c r="B41" s="1">
        <v>45021</v>
      </c>
      <c r="C41">
        <v>16</v>
      </c>
      <c r="G41">
        <v>3</v>
      </c>
      <c r="H41">
        <f>G41/C41</f>
        <v>0.1875</v>
      </c>
      <c r="L41"/>
    </row>
    <row r="43" spans="1:15" s="9" customFormat="1" x14ac:dyDescent="0.2">
      <c r="C43" s="9">
        <f>SUM(C2:C41)</f>
        <v>2401</v>
      </c>
      <c r="D43" s="9">
        <f>SUM(D2:D24)</f>
        <v>409</v>
      </c>
      <c r="E43" s="9">
        <f>SUM(E2:E40)</f>
        <v>1685</v>
      </c>
      <c r="F43">
        <f>D43/C43</f>
        <v>0.17034568929612662</v>
      </c>
      <c r="G43" s="9">
        <f>SUM(G2:G24)</f>
        <v>383</v>
      </c>
      <c r="H43">
        <f>G43/C43</f>
        <v>0.15951686797167847</v>
      </c>
      <c r="J43" s="9">
        <f>SUM(J2:J40)</f>
        <v>206</v>
      </c>
      <c r="L43" s="9">
        <f>SUM(L2:L40)</f>
        <v>1425</v>
      </c>
    </row>
    <row r="45" spans="1:15" s="6" customFormat="1" x14ac:dyDescent="0.2">
      <c r="A45" s="6" t="s">
        <v>25</v>
      </c>
      <c r="B45" s="7">
        <v>44930</v>
      </c>
      <c r="C45" s="6">
        <v>162</v>
      </c>
      <c r="D45" s="6">
        <v>6</v>
      </c>
      <c r="E45" s="6">
        <f>C45-D45</f>
        <v>156</v>
      </c>
      <c r="F45" s="6">
        <f>D45/C45</f>
        <v>3.7037037037037035E-2</v>
      </c>
      <c r="G45" s="6">
        <v>107</v>
      </c>
      <c r="H45" s="6">
        <f>G45/C45</f>
        <v>0.66049382716049387</v>
      </c>
      <c r="I45" s="8"/>
      <c r="J45" s="6">
        <v>39</v>
      </c>
      <c r="K45" s="6">
        <f>(J45)/E45</f>
        <v>0.25</v>
      </c>
      <c r="L45" s="6">
        <f>E45-J45</f>
        <v>117</v>
      </c>
      <c r="M45" s="6">
        <f>L45/E45</f>
        <v>0.75</v>
      </c>
      <c r="O45" s="6" t="s">
        <v>28</v>
      </c>
    </row>
    <row r="46" spans="1:15" x14ac:dyDescent="0.2">
      <c r="A46" t="s">
        <v>37</v>
      </c>
      <c r="B46" s="1">
        <v>44952</v>
      </c>
      <c r="O46" t="s">
        <v>41</v>
      </c>
    </row>
    <row r="47" spans="1:15" x14ac:dyDescent="0.2">
      <c r="A47" t="s">
        <v>38</v>
      </c>
      <c r="B47" s="1">
        <v>44953</v>
      </c>
      <c r="O47" t="s">
        <v>41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Yajun Cao</dc:creator>
  <cp:lastModifiedBy>Yajun Cao</cp:lastModifiedBy>
  <dcterms:created xsi:type="dcterms:W3CDTF">2022-11-28T01:02:17Z</dcterms:created>
  <dcterms:modified xsi:type="dcterms:W3CDTF">2023-04-10T14:22:35Z</dcterms:modified>
</cp:coreProperties>
</file>